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 Here" sheetId="1" state="visible" r:id="rId1"/>
    <sheet xmlns:r="http://schemas.openxmlformats.org/officeDocument/2006/relationships" name="Raw Data" sheetId="2" state="visible" r:id="rId2"/>
    <sheet xmlns:r="http://schemas.openxmlformats.org/officeDocument/2006/relationships" name="Cleaned Data" sheetId="3" state="visible" r:id="rId3"/>
    <sheet xmlns:r="http://schemas.openxmlformats.org/officeDocument/2006/relationships" name="Prices" sheetId="4" state="visible" r:id="rId4"/>
    <sheet xmlns:r="http://schemas.openxmlformats.org/officeDocument/2006/relationships" name="Formula Practice" sheetId="5" state="visible" r:id="rId5"/>
    <sheet xmlns:r="http://schemas.openxmlformats.org/officeDocument/2006/relationships" name="Pivot Summary" sheetId="6" state="visible" r:id="rId6"/>
    <sheet xmlns:r="http://schemas.openxmlformats.org/officeDocument/2006/relationships" name="Charts" sheetId="7" state="visible" r:id="rId7"/>
    <sheet xmlns:r="http://schemas.openxmlformats.org/officeDocument/2006/relationships" name="Observation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dd-mmm-yyyy"/>
    <numFmt numFmtId="165" formatCode="₹#,##0.00"/>
    <numFmt numFmtId="166" formatCode="0.0%"/>
    <numFmt numFmtId="167" formatCode="₹#,##0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bottom style="thin">
        <color rgb="00D9E1F2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165" fontId="0" fillId="0" borderId="1" applyAlignment="1" pivotButton="0" quotePrefix="0" xfId="0">
      <alignment vertical="top" wrapText="1"/>
    </xf>
    <xf numFmtId="166" fontId="0" fillId="0" borderId="1" applyAlignment="1" pivotButton="0" quotePrefix="0" xfId="0">
      <alignment vertical="top" wrapText="1"/>
    </xf>
    <xf numFmtId="167" fontId="0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165" fontId="0" fillId="0" borderId="1" applyAlignment="1" pivotButton="0" quotePrefix="0" xfId="0">
      <alignment vertical="top" wrapText="1"/>
    </xf>
    <xf numFmtId="166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Total Revenue by Category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'Pivot Summary'!B23</f>
            </strRef>
          </tx>
          <spPr>
            <a:ln xmlns:a="http://schemas.openxmlformats.org/drawingml/2006/main">
              <a:prstDash val="solid"/>
            </a:ln>
          </spPr>
          <cat>
            <numRef>
              <f>'Pivot Summary'!$A$24:$A$26</f>
            </numRef>
          </cat>
          <val>
            <numRef>
              <f>'Pivot Summary'!$B$24:$B$26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Revenue (INR)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Category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Revenue Trend</a:t>
            </a:r>
          </a:p>
        </rich>
      </tx>
    </title>
    <plotArea>
      <lineChart>
        <grouping val="standard"/>
        <ser>
          <idx val="0"/>
          <order val="0"/>
          <tx>
            <strRef>
              <f>'Pivot Summary'!B29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'Pivot Summary'!$A$30:$A$33</f>
            </numRef>
          </cat>
          <val>
            <numRef>
              <f>'Pivot Summary'!$B$30:$B$33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Revenue (INR)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3</row>
      <rowOff>0</rowOff>
    </from>
    <ext cx="468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19</row>
      <rowOff>0</rowOff>
    </from>
    <ext cx="468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Sales Data Analysis — Practice Deliverable</t>
        </is>
      </c>
      <c r="B1" s="1" t="n"/>
    </row>
    <row r="2">
      <c r="A2" s="2" t="inlineStr">
        <is>
          <t>Purpose</t>
        </is>
      </c>
      <c r="B2" s="2" t="inlineStr">
        <is>
          <t>Fictional dataset for spreadsheet cleaning, formulas, pivot-style summaries, and charts.</t>
        </is>
      </c>
    </row>
    <row r="3">
      <c r="A3" s="2" t="inlineStr">
        <is>
          <t>How to use</t>
        </is>
      </c>
      <c r="B3" s="2" t="inlineStr">
        <is>
          <t>Review Raw Data first. Raw Data is preserved exactly as generated, including one duplicate and one blank row.</t>
        </is>
      </c>
    </row>
    <row r="4">
      <c r="A4" s="2" t="inlineStr">
        <is>
          <t>Cleaning log</t>
        </is>
      </c>
      <c r="B4" s="2" t="inlineStr">
        <is>
          <t>Removed 1 entirely blank row. Removed duplicate OrderID ORD-1005 (kept first occurrence).</t>
        </is>
      </c>
    </row>
    <row r="5">
      <c r="A5" s="2" t="inlineStr">
        <is>
          <t>Business key</t>
        </is>
      </c>
      <c r="B5" s="2" t="inlineStr">
        <is>
          <t>OrderID is used as the business key because each order should be unique.</t>
        </is>
      </c>
    </row>
    <row r="6">
      <c r="A6" s="2" t="inlineStr">
        <is>
          <t>Formula — Revenue</t>
        </is>
      </c>
      <c r="B6" s="2" t="inlineStr">
        <is>
          <t>Revenue = Quantity × UnitPrice (Excel example: =D2*E2).</t>
        </is>
      </c>
    </row>
    <row r="7">
      <c r="A7" s="2" t="inlineStr">
        <is>
          <t>Formula — Cost</t>
        </is>
      </c>
      <c r="B7" s="2" t="inlineStr">
        <is>
          <t>Cost = Quantity × UnitCost (Excel example: =D2*F2).</t>
        </is>
      </c>
    </row>
    <row r="8">
      <c r="A8" s="2" t="inlineStr">
        <is>
          <t>Formula — Margin</t>
        </is>
      </c>
      <c r="B8" s="2" t="inlineStr">
        <is>
          <t>Margin = Revenue − Cost (Excel example: =G2-D2*F2).</t>
        </is>
      </c>
    </row>
    <row r="9">
      <c r="A9" s="2" t="inlineStr">
        <is>
          <t>Formula — Margin %</t>
        </is>
      </c>
      <c r="B9" s="2" t="inlineStr">
        <is>
          <t>Margin % = Margin / Revenue; formatted as percentage.</t>
        </is>
      </c>
    </row>
    <row r="10">
      <c r="A10" s="2" t="inlineStr">
        <is>
          <t>Formula — IF</t>
        </is>
      </c>
      <c r="B10" s="2" t="inlineStr">
        <is>
          <t>Quantity check: =IF(D2&gt;0,"OK","Check")</t>
        </is>
      </c>
    </row>
    <row r="11">
      <c r="A11" s="2" t="inlineStr">
        <is>
          <t>Formula — XLOOKUP</t>
        </is>
      </c>
      <c r="B11" s="2">
        <f>XLOOKUP(C2,Prices!A:A,Prices!B:B,"Unknown") — see Cleaned Data lookup column.</f>
        <v/>
      </c>
    </row>
    <row r="12">
      <c r="A12" s="2" t="inlineStr">
        <is>
          <t>Formula — SUMIFS</t>
        </is>
      </c>
      <c r="B12" s="2">
        <f>SUMIFS(G:G,B:B,"West") — see Formula Practice sheet.</f>
        <v/>
      </c>
    </row>
    <row r="13">
      <c r="A13" s="2" t="inlineStr">
        <is>
          <t>Pivot note</t>
        </is>
      </c>
      <c r="B13" s="2" t="inlineStr">
        <is>
          <t>Pivot Summary and the region/category/month summaries are precomputed summaries from the cleaned dataset for compatibility.</t>
        </is>
      </c>
    </row>
    <row r="14">
      <c r="A14" s="2" t="inlineStr">
        <is>
          <t>Reconciliation</t>
        </is>
      </c>
      <c r="B14" s="2" t="inlineStr">
        <is>
          <t>Cleaned total revenue = ₹963,600; region/category/month summary revenue totals reconcile to this amount.</t>
        </is>
      </c>
    </row>
    <row r="15">
      <c r="A15" s="2" t="inlineStr">
        <is>
          <t>Dataset note</t>
        </is>
      </c>
      <c r="B15" s="2" t="inlineStr">
        <is>
          <t>All orders, prices, costs, regions, and products are fictional and intended for practice only.</t>
        </is>
      </c>
    </row>
    <row r="16">
      <c r="A16" s="2" t="inlineStr">
        <is>
          <t>Next step</t>
        </is>
      </c>
      <c r="B16" s="2" t="inlineStr">
        <is>
          <t>Open the Pivot Summary and Charts sheets. For a live Excel PivotTable, select Cleaned Data and use Insert &gt; PivotTable.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Date</t>
        </is>
      </c>
      <c r="B1" s="1" t="inlineStr">
        <is>
          <t>Region</t>
        </is>
      </c>
      <c r="C1" s="1" t="inlineStr">
        <is>
          <t>Category</t>
        </is>
      </c>
      <c r="D1" s="1" t="inlineStr">
        <is>
          <t>Quantity</t>
        </is>
      </c>
      <c r="E1" s="1" t="inlineStr">
        <is>
          <t>UnitPrice</t>
        </is>
      </c>
      <c r="F1" s="1" t="inlineStr">
        <is>
          <t>UnitCost</t>
        </is>
      </c>
      <c r="G1" s="1" t="inlineStr">
        <is>
          <t>OrderID</t>
        </is>
      </c>
    </row>
    <row r="2">
      <c r="A2" s="8" t="n">
        <v>46027</v>
      </c>
      <c r="B2" s="2" t="inlineStr">
        <is>
          <t>West</t>
        </is>
      </c>
      <c r="C2" s="2" t="inlineStr">
        <is>
          <t>Laptop</t>
        </is>
      </c>
      <c r="D2" s="2" t="n">
        <v>2</v>
      </c>
      <c r="E2" s="2" t="n">
        <v>55000</v>
      </c>
      <c r="F2" s="2" t="n">
        <v>42000</v>
      </c>
      <c r="G2" s="2" t="inlineStr">
        <is>
          <t>ORD-1001</t>
        </is>
      </c>
    </row>
    <row r="3">
      <c r="A3" s="8" t="n">
        <v>46034</v>
      </c>
      <c r="B3" s="2" t="inlineStr">
        <is>
          <t>North</t>
        </is>
      </c>
      <c r="C3" s="2" t="inlineStr">
        <is>
          <t>Phone</t>
        </is>
      </c>
      <c r="D3" s="2" t="n">
        <v>5</v>
      </c>
      <c r="E3" s="2" t="n">
        <v>18000</v>
      </c>
      <c r="F3" s="2" t="n">
        <v>12500</v>
      </c>
      <c r="G3" s="2" t="inlineStr">
        <is>
          <t>ORD-1002</t>
        </is>
      </c>
    </row>
    <row r="4">
      <c r="A4" s="8" t="n">
        <v>46042</v>
      </c>
      <c r="B4" s="2" t="inlineStr">
        <is>
          <t>South</t>
        </is>
      </c>
      <c r="C4" s="2" t="inlineStr">
        <is>
          <t>Tablet</t>
        </is>
      </c>
      <c r="D4" s="2" t="n">
        <v>3</v>
      </c>
      <c r="E4" s="2" t="n">
        <v>22000</v>
      </c>
      <c r="F4" s="2" t="n">
        <v>16000</v>
      </c>
      <c r="G4" s="2" t="inlineStr">
        <is>
          <t>ORD-1003</t>
        </is>
      </c>
    </row>
    <row r="5">
      <c r="A5" s="8" t="n">
        <v>46056</v>
      </c>
      <c r="B5" s="2" t="inlineStr">
        <is>
          <t>East</t>
        </is>
      </c>
      <c r="C5" s="2" t="inlineStr">
        <is>
          <t>Laptop</t>
        </is>
      </c>
      <c r="D5" s="2" t="n">
        <v>1</v>
      </c>
      <c r="E5" s="2" t="n">
        <v>56000</v>
      </c>
      <c r="F5" s="2" t="n">
        <v>42500</v>
      </c>
      <c r="G5" s="2" t="inlineStr">
        <is>
          <t>ORD-1004</t>
        </is>
      </c>
    </row>
    <row r="6">
      <c r="A6" s="8" t="n">
        <v>46067</v>
      </c>
      <c r="B6" s="2" t="inlineStr">
        <is>
          <t>West</t>
        </is>
      </c>
      <c r="C6" s="2" t="inlineStr">
        <is>
          <t>Phone</t>
        </is>
      </c>
      <c r="D6" s="2" t="n">
        <v>4</v>
      </c>
      <c r="E6" s="2" t="n">
        <v>17500</v>
      </c>
      <c r="F6" s="2" t="n">
        <v>12200</v>
      </c>
      <c r="G6" s="2" t="inlineStr">
        <is>
          <t>ORD-1005</t>
        </is>
      </c>
    </row>
    <row r="7">
      <c r="A7" s="8" t="n">
        <v>46077</v>
      </c>
      <c r="B7" s="2" t="inlineStr">
        <is>
          <t>North</t>
        </is>
      </c>
      <c r="C7" s="2" t="inlineStr">
        <is>
          <t>Tablet</t>
        </is>
      </c>
      <c r="D7" s="2" t="n">
        <v>2</v>
      </c>
      <c r="E7" s="2" t="n">
        <v>22500</v>
      </c>
      <c r="F7" s="2" t="n">
        <v>16200</v>
      </c>
      <c r="G7" s="2" t="inlineStr">
        <is>
          <t>ORD-1006</t>
        </is>
      </c>
    </row>
    <row r="8">
      <c r="A8" s="8" t="n">
        <v>46083</v>
      </c>
      <c r="B8" s="2" t="inlineStr">
        <is>
          <t>South</t>
        </is>
      </c>
      <c r="C8" s="2" t="inlineStr">
        <is>
          <t>Laptop</t>
        </is>
      </c>
      <c r="D8" s="2" t="n">
        <v>2</v>
      </c>
      <c r="E8" s="2" t="n">
        <v>54500</v>
      </c>
      <c r="F8" s="2" t="n">
        <v>41500</v>
      </c>
      <c r="G8" s="2" t="inlineStr">
        <is>
          <t>ORD-1007</t>
        </is>
      </c>
    </row>
    <row r="9">
      <c r="A9" s="8" t="n">
        <v>46091</v>
      </c>
      <c r="B9" s="2" t="inlineStr">
        <is>
          <t>East</t>
        </is>
      </c>
      <c r="C9" s="2" t="inlineStr">
        <is>
          <t>Phone</t>
        </is>
      </c>
      <c r="D9" s="2" t="n">
        <v>6</v>
      </c>
      <c r="E9" s="2" t="n">
        <v>18200</v>
      </c>
      <c r="F9" s="2" t="n">
        <v>12600</v>
      </c>
      <c r="G9" s="2" t="inlineStr">
        <is>
          <t>ORD-1008</t>
        </is>
      </c>
    </row>
    <row r="10">
      <c r="A10" s="8" t="n">
        <v>46099</v>
      </c>
      <c r="B10" s="2" t="inlineStr">
        <is>
          <t>West</t>
        </is>
      </c>
      <c r="C10" s="2" t="inlineStr">
        <is>
          <t>Tablet</t>
        </is>
      </c>
      <c r="D10" s="2" t="n">
        <v>4</v>
      </c>
      <c r="E10" s="2" t="n">
        <v>21800</v>
      </c>
      <c r="F10" s="2" t="n">
        <v>15800</v>
      </c>
      <c r="G10" s="2" t="inlineStr">
        <is>
          <t>ORD-1009</t>
        </is>
      </c>
    </row>
    <row r="11">
      <c r="A11" s="8" t="n">
        <v>46113</v>
      </c>
      <c r="B11" s="2" t="inlineStr">
        <is>
          <t>North</t>
        </is>
      </c>
      <c r="C11" s="2" t="inlineStr">
        <is>
          <t>Laptop</t>
        </is>
      </c>
      <c r="D11" s="2" t="n">
        <v>1</v>
      </c>
      <c r="E11" s="2" t="n">
        <v>57000</v>
      </c>
      <c r="F11" s="2" t="n">
        <v>43000</v>
      </c>
      <c r="G11" s="2" t="inlineStr">
        <is>
          <t>ORD-1010</t>
        </is>
      </c>
    </row>
    <row r="12">
      <c r="A12" s="8" t="n">
        <v>46123</v>
      </c>
      <c r="B12" s="2" t="inlineStr">
        <is>
          <t>South</t>
        </is>
      </c>
      <c r="C12" s="2" t="inlineStr">
        <is>
          <t>Phone</t>
        </is>
      </c>
      <c r="D12" s="2" t="n">
        <v>3</v>
      </c>
      <c r="E12" s="2" t="n">
        <v>17900</v>
      </c>
      <c r="F12" s="2" t="n">
        <v>12400</v>
      </c>
      <c r="G12" s="2" t="inlineStr">
        <is>
          <t>ORD-1011</t>
        </is>
      </c>
    </row>
    <row r="13">
      <c r="A13" s="8" t="n">
        <v>46134</v>
      </c>
      <c r="B13" s="2" t="inlineStr">
        <is>
          <t>East</t>
        </is>
      </c>
      <c r="C13" s="2" t="inlineStr">
        <is>
          <t>Tablet</t>
        </is>
      </c>
      <c r="D13" s="2" t="n">
        <v>5</v>
      </c>
      <c r="E13" s="2" t="n">
        <v>22100</v>
      </c>
      <c r="F13" s="2" t="n">
        <v>16100</v>
      </c>
      <c r="G13" s="2" t="inlineStr">
        <is>
          <t>ORD-1012</t>
        </is>
      </c>
    </row>
    <row r="14">
      <c r="A14" s="8" t="n">
        <v>46067</v>
      </c>
      <c r="B14" s="2" t="inlineStr">
        <is>
          <t>West</t>
        </is>
      </c>
      <c r="C14" s="2" t="inlineStr">
        <is>
          <t>Phone</t>
        </is>
      </c>
      <c r="D14" s="2" t="n">
        <v>4</v>
      </c>
      <c r="E14" s="2" t="n">
        <v>17500</v>
      </c>
      <c r="F14" s="2" t="n">
        <v>12200</v>
      </c>
      <c r="G14" s="2" t="inlineStr">
        <is>
          <t>ORD-1005</t>
        </is>
      </c>
    </row>
    <row r="15">
      <c r="A15" s="8" t="n"/>
      <c r="B15" s="2" t="n"/>
      <c r="C15" s="2" t="n"/>
      <c r="D15" s="2" t="n"/>
      <c r="E15" s="2" t="n"/>
      <c r="F15" s="2" t="n"/>
      <c r="G15" s="2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22" customWidth="1" min="11" max="11"/>
    <col width="25" customWidth="1" min="12" max="12"/>
    <col width="42" customWidth="1" min="13" max="13"/>
    <col width="22" customWidth="1" min="14" max="14"/>
  </cols>
  <sheetData>
    <row r="1">
      <c r="A1" s="1" t="inlineStr">
        <is>
          <t>Date</t>
        </is>
      </c>
      <c r="B1" s="1" t="inlineStr">
        <is>
          <t>Region</t>
        </is>
      </c>
      <c r="C1" s="1" t="inlineStr">
        <is>
          <t>Category</t>
        </is>
      </c>
      <c r="D1" s="1" t="inlineStr">
        <is>
          <t>Quantity</t>
        </is>
      </c>
      <c r="E1" s="1" t="inlineStr">
        <is>
          <t>UnitPrice</t>
        </is>
      </c>
      <c r="F1" s="1" t="inlineStr">
        <is>
          <t>UnitCost</t>
        </is>
      </c>
      <c r="G1" s="1" t="inlineStr">
        <is>
          <t>OrderID</t>
        </is>
      </c>
      <c r="H1" s="1" t="inlineStr">
        <is>
          <t>Revenue</t>
        </is>
      </c>
      <c r="I1" s="1" t="inlineStr">
        <is>
          <t>Cost</t>
        </is>
      </c>
      <c r="J1" s="1" t="inlineStr">
        <is>
          <t>Margin</t>
        </is>
      </c>
      <c r="K1" s="1" t="inlineStr">
        <is>
          <t>MarginPct</t>
        </is>
      </c>
      <c r="L1" s="1" t="inlineStr">
        <is>
          <t>QuantityCheck</t>
        </is>
      </c>
      <c r="M1" s="1" t="inlineStr">
        <is>
          <t>LookupPrice</t>
        </is>
      </c>
      <c r="N1" s="1" t="inlineStr">
        <is>
          <t>Month</t>
        </is>
      </c>
    </row>
    <row r="2">
      <c r="A2" s="8" t="n">
        <v>46027</v>
      </c>
      <c r="B2" s="2" t="inlineStr">
        <is>
          <t>West</t>
        </is>
      </c>
      <c r="C2" s="2" t="inlineStr">
        <is>
          <t>Laptop</t>
        </is>
      </c>
      <c r="D2" s="2" t="n">
        <v>2</v>
      </c>
      <c r="E2" s="9" t="n">
        <v>55000</v>
      </c>
      <c r="F2" s="9" t="n">
        <v>42000</v>
      </c>
      <c r="G2" s="2" t="inlineStr">
        <is>
          <t>ORD-1001</t>
        </is>
      </c>
      <c r="H2" s="9">
        <f>E2*D2</f>
        <v/>
      </c>
      <c r="I2" s="9">
        <f>F2*D2</f>
        <v/>
      </c>
      <c r="J2" s="9">
        <f>H2-I2</f>
        <v/>
      </c>
      <c r="K2" s="10">
        <f>IF(H2=0,0,J2/H2)</f>
        <v/>
      </c>
      <c r="L2" s="9">
        <f>IF(D2&gt;0,"OK","Check")</f>
        <v/>
      </c>
      <c r="M2" s="2">
        <f>XLOOKUP(C2,Prices!A:A,Prices!B:B,"Unknown")</f>
        <v/>
      </c>
      <c r="N2" s="2">
        <f>TEXT(A2,"yyyy-mm")</f>
        <v/>
      </c>
    </row>
    <row r="3">
      <c r="A3" s="8" t="n">
        <v>46034</v>
      </c>
      <c r="B3" s="2" t="inlineStr">
        <is>
          <t>North</t>
        </is>
      </c>
      <c r="C3" s="2" t="inlineStr">
        <is>
          <t>Phone</t>
        </is>
      </c>
      <c r="D3" s="2" t="n">
        <v>5</v>
      </c>
      <c r="E3" s="9" t="n">
        <v>18000</v>
      </c>
      <c r="F3" s="9" t="n">
        <v>12500</v>
      </c>
      <c r="G3" s="2" t="inlineStr">
        <is>
          <t>ORD-1002</t>
        </is>
      </c>
      <c r="H3" s="9">
        <f>E3*D3</f>
        <v/>
      </c>
      <c r="I3" s="9">
        <f>F3*D3</f>
        <v/>
      </c>
      <c r="J3" s="9">
        <f>H3-I3</f>
        <v/>
      </c>
      <c r="K3" s="10">
        <f>IF(H3=0,0,J3/H3)</f>
        <v/>
      </c>
      <c r="L3" s="9">
        <f>IF(D3&gt;0,"OK","Check")</f>
        <v/>
      </c>
      <c r="M3" s="2">
        <f>XLOOKUP(C3,Prices!A:A,Prices!B:B,"Unknown")</f>
        <v/>
      </c>
      <c r="N3" s="2">
        <f>TEXT(A3,"yyyy-mm")</f>
        <v/>
      </c>
    </row>
    <row r="4">
      <c r="A4" s="8" t="n">
        <v>46042</v>
      </c>
      <c r="B4" s="2" t="inlineStr">
        <is>
          <t>South</t>
        </is>
      </c>
      <c r="C4" s="2" t="inlineStr">
        <is>
          <t>Tablet</t>
        </is>
      </c>
      <c r="D4" s="2" t="n">
        <v>3</v>
      </c>
      <c r="E4" s="9" t="n">
        <v>22000</v>
      </c>
      <c r="F4" s="9" t="n">
        <v>16000</v>
      </c>
      <c r="G4" s="2" t="inlineStr">
        <is>
          <t>ORD-1003</t>
        </is>
      </c>
      <c r="H4" s="9">
        <f>E4*D4</f>
        <v/>
      </c>
      <c r="I4" s="9">
        <f>F4*D4</f>
        <v/>
      </c>
      <c r="J4" s="9">
        <f>H4-I4</f>
        <v/>
      </c>
      <c r="K4" s="10">
        <f>IF(H4=0,0,J4/H4)</f>
        <v/>
      </c>
      <c r="L4" s="9">
        <f>IF(D4&gt;0,"OK","Check")</f>
        <v/>
      </c>
      <c r="M4" s="2">
        <f>XLOOKUP(C4,Prices!A:A,Prices!B:B,"Unknown")</f>
        <v/>
      </c>
      <c r="N4" s="2">
        <f>TEXT(A4,"yyyy-mm")</f>
        <v/>
      </c>
    </row>
    <row r="5">
      <c r="A5" s="8" t="n">
        <v>46056</v>
      </c>
      <c r="B5" s="2" t="inlineStr">
        <is>
          <t>East</t>
        </is>
      </c>
      <c r="C5" s="2" t="inlineStr">
        <is>
          <t>Laptop</t>
        </is>
      </c>
      <c r="D5" s="2" t="n">
        <v>1</v>
      </c>
      <c r="E5" s="9" t="n">
        <v>56000</v>
      </c>
      <c r="F5" s="9" t="n">
        <v>42500</v>
      </c>
      <c r="G5" s="2" t="inlineStr">
        <is>
          <t>ORD-1004</t>
        </is>
      </c>
      <c r="H5" s="9">
        <f>E5*D5</f>
        <v/>
      </c>
      <c r="I5" s="9">
        <f>F5*D5</f>
        <v/>
      </c>
      <c r="J5" s="9">
        <f>H5-I5</f>
        <v/>
      </c>
      <c r="K5" s="10">
        <f>IF(H5=0,0,J5/H5)</f>
        <v/>
      </c>
      <c r="L5" s="9">
        <f>IF(D5&gt;0,"OK","Check")</f>
        <v/>
      </c>
      <c r="M5" s="2">
        <f>XLOOKUP(C5,Prices!A:A,Prices!B:B,"Unknown")</f>
        <v/>
      </c>
      <c r="N5" s="2">
        <f>TEXT(A5,"yyyy-mm")</f>
        <v/>
      </c>
    </row>
    <row r="6">
      <c r="A6" s="8" t="n">
        <v>46067</v>
      </c>
      <c r="B6" s="2" t="inlineStr">
        <is>
          <t>West</t>
        </is>
      </c>
      <c r="C6" s="2" t="inlineStr">
        <is>
          <t>Phone</t>
        </is>
      </c>
      <c r="D6" s="2" t="n">
        <v>4</v>
      </c>
      <c r="E6" s="9" t="n">
        <v>17500</v>
      </c>
      <c r="F6" s="9" t="n">
        <v>12200</v>
      </c>
      <c r="G6" s="2" t="inlineStr">
        <is>
          <t>ORD-1005</t>
        </is>
      </c>
      <c r="H6" s="9">
        <f>E6*D6</f>
        <v/>
      </c>
      <c r="I6" s="9">
        <f>F6*D6</f>
        <v/>
      </c>
      <c r="J6" s="9">
        <f>H6-I6</f>
        <v/>
      </c>
      <c r="K6" s="10">
        <f>IF(H6=0,0,J6/H6)</f>
        <v/>
      </c>
      <c r="L6" s="9">
        <f>IF(D6&gt;0,"OK","Check")</f>
        <v/>
      </c>
      <c r="M6" s="2">
        <f>XLOOKUP(C6,Prices!A:A,Prices!B:B,"Unknown")</f>
        <v/>
      </c>
      <c r="N6" s="2">
        <f>TEXT(A6,"yyyy-mm")</f>
        <v/>
      </c>
    </row>
    <row r="7">
      <c r="A7" s="8" t="n">
        <v>46077</v>
      </c>
      <c r="B7" s="2" t="inlineStr">
        <is>
          <t>North</t>
        </is>
      </c>
      <c r="C7" s="2" t="inlineStr">
        <is>
          <t>Tablet</t>
        </is>
      </c>
      <c r="D7" s="2" t="n">
        <v>2</v>
      </c>
      <c r="E7" s="9" t="n">
        <v>22500</v>
      </c>
      <c r="F7" s="9" t="n">
        <v>16200</v>
      </c>
      <c r="G7" s="2" t="inlineStr">
        <is>
          <t>ORD-1006</t>
        </is>
      </c>
      <c r="H7" s="9">
        <f>E7*D7</f>
        <v/>
      </c>
      <c r="I7" s="9">
        <f>F7*D7</f>
        <v/>
      </c>
      <c r="J7" s="9">
        <f>H7-I7</f>
        <v/>
      </c>
      <c r="K7" s="10">
        <f>IF(H7=0,0,J7/H7)</f>
        <v/>
      </c>
      <c r="L7" s="9">
        <f>IF(D7&gt;0,"OK","Check")</f>
        <v/>
      </c>
      <c r="M7" s="2">
        <f>XLOOKUP(C7,Prices!A:A,Prices!B:B,"Unknown")</f>
        <v/>
      </c>
      <c r="N7" s="2">
        <f>TEXT(A7,"yyyy-mm")</f>
        <v/>
      </c>
    </row>
    <row r="8">
      <c r="A8" s="8" t="n">
        <v>46083</v>
      </c>
      <c r="B8" s="2" t="inlineStr">
        <is>
          <t>South</t>
        </is>
      </c>
      <c r="C8" s="2" t="inlineStr">
        <is>
          <t>Laptop</t>
        </is>
      </c>
      <c r="D8" s="2" t="n">
        <v>2</v>
      </c>
      <c r="E8" s="9" t="n">
        <v>54500</v>
      </c>
      <c r="F8" s="9" t="n">
        <v>41500</v>
      </c>
      <c r="G8" s="2" t="inlineStr">
        <is>
          <t>ORD-1007</t>
        </is>
      </c>
      <c r="H8" s="9">
        <f>E8*D8</f>
        <v/>
      </c>
      <c r="I8" s="9">
        <f>F8*D8</f>
        <v/>
      </c>
      <c r="J8" s="9">
        <f>H8-I8</f>
        <v/>
      </c>
      <c r="K8" s="10">
        <f>IF(H8=0,0,J8/H8)</f>
        <v/>
      </c>
      <c r="L8" s="9">
        <f>IF(D8&gt;0,"OK","Check")</f>
        <v/>
      </c>
      <c r="M8" s="2">
        <f>XLOOKUP(C8,Prices!A:A,Prices!B:B,"Unknown")</f>
        <v/>
      </c>
      <c r="N8" s="2">
        <f>TEXT(A8,"yyyy-mm")</f>
        <v/>
      </c>
    </row>
    <row r="9">
      <c r="A9" s="8" t="n">
        <v>46091</v>
      </c>
      <c r="B9" s="2" t="inlineStr">
        <is>
          <t>East</t>
        </is>
      </c>
      <c r="C9" s="2" t="inlineStr">
        <is>
          <t>Phone</t>
        </is>
      </c>
      <c r="D9" s="2" t="n">
        <v>6</v>
      </c>
      <c r="E9" s="9" t="n">
        <v>18200</v>
      </c>
      <c r="F9" s="9" t="n">
        <v>12600</v>
      </c>
      <c r="G9" s="2" t="inlineStr">
        <is>
          <t>ORD-1008</t>
        </is>
      </c>
      <c r="H9" s="9">
        <f>E9*D9</f>
        <v/>
      </c>
      <c r="I9" s="9">
        <f>F9*D9</f>
        <v/>
      </c>
      <c r="J9" s="9">
        <f>H9-I9</f>
        <v/>
      </c>
      <c r="K9" s="10">
        <f>IF(H9=0,0,J9/H9)</f>
        <v/>
      </c>
      <c r="L9" s="9">
        <f>IF(D9&gt;0,"OK","Check")</f>
        <v/>
      </c>
      <c r="M9" s="2">
        <f>XLOOKUP(C9,Prices!A:A,Prices!B:B,"Unknown")</f>
        <v/>
      </c>
      <c r="N9" s="2">
        <f>TEXT(A9,"yyyy-mm")</f>
        <v/>
      </c>
    </row>
    <row r="10">
      <c r="A10" s="8" t="n">
        <v>46099</v>
      </c>
      <c r="B10" s="2" t="inlineStr">
        <is>
          <t>West</t>
        </is>
      </c>
      <c r="C10" s="2" t="inlineStr">
        <is>
          <t>Tablet</t>
        </is>
      </c>
      <c r="D10" s="2" t="n">
        <v>4</v>
      </c>
      <c r="E10" s="9" t="n">
        <v>21800</v>
      </c>
      <c r="F10" s="9" t="n">
        <v>15800</v>
      </c>
      <c r="G10" s="2" t="inlineStr">
        <is>
          <t>ORD-1009</t>
        </is>
      </c>
      <c r="H10" s="9">
        <f>E10*D10</f>
        <v/>
      </c>
      <c r="I10" s="9">
        <f>F10*D10</f>
        <v/>
      </c>
      <c r="J10" s="9">
        <f>H10-I10</f>
        <v/>
      </c>
      <c r="K10" s="10">
        <f>IF(H10=0,0,J10/H10)</f>
        <v/>
      </c>
      <c r="L10" s="9">
        <f>IF(D10&gt;0,"OK","Check")</f>
        <v/>
      </c>
      <c r="M10" s="2">
        <f>XLOOKUP(C10,Prices!A:A,Prices!B:B,"Unknown")</f>
        <v/>
      </c>
      <c r="N10" s="2">
        <f>TEXT(A10,"yyyy-mm")</f>
        <v/>
      </c>
    </row>
    <row r="11">
      <c r="A11" s="8" t="n">
        <v>46113</v>
      </c>
      <c r="B11" s="2" t="inlineStr">
        <is>
          <t>North</t>
        </is>
      </c>
      <c r="C11" s="2" t="inlineStr">
        <is>
          <t>Laptop</t>
        </is>
      </c>
      <c r="D11" s="2" t="n">
        <v>1</v>
      </c>
      <c r="E11" s="9" t="n">
        <v>57000</v>
      </c>
      <c r="F11" s="9" t="n">
        <v>43000</v>
      </c>
      <c r="G11" s="2" t="inlineStr">
        <is>
          <t>ORD-1010</t>
        </is>
      </c>
      <c r="H11" s="9">
        <f>E11*D11</f>
        <v/>
      </c>
      <c r="I11" s="9">
        <f>F11*D11</f>
        <v/>
      </c>
      <c r="J11" s="9">
        <f>H11-I11</f>
        <v/>
      </c>
      <c r="K11" s="10">
        <f>IF(H11=0,0,J11/H11)</f>
        <v/>
      </c>
      <c r="L11" s="9">
        <f>IF(D11&gt;0,"OK","Check")</f>
        <v/>
      </c>
      <c r="M11" s="2">
        <f>XLOOKUP(C11,Prices!A:A,Prices!B:B,"Unknown")</f>
        <v/>
      </c>
      <c r="N11" s="2">
        <f>TEXT(A11,"yyyy-mm")</f>
        <v/>
      </c>
    </row>
    <row r="12">
      <c r="A12" s="8" t="n">
        <v>46123</v>
      </c>
      <c r="B12" s="2" t="inlineStr">
        <is>
          <t>South</t>
        </is>
      </c>
      <c r="C12" s="2" t="inlineStr">
        <is>
          <t>Phone</t>
        </is>
      </c>
      <c r="D12" s="2" t="n">
        <v>3</v>
      </c>
      <c r="E12" s="9" t="n">
        <v>17900</v>
      </c>
      <c r="F12" s="9" t="n">
        <v>12400</v>
      </c>
      <c r="G12" s="2" t="inlineStr">
        <is>
          <t>ORD-1011</t>
        </is>
      </c>
      <c r="H12" s="9">
        <f>E12*D12</f>
        <v/>
      </c>
      <c r="I12" s="9">
        <f>F12*D12</f>
        <v/>
      </c>
      <c r="J12" s="9">
        <f>H12-I12</f>
        <v/>
      </c>
      <c r="K12" s="10">
        <f>IF(H12=0,0,J12/H12)</f>
        <v/>
      </c>
      <c r="L12" s="9">
        <f>IF(D12&gt;0,"OK","Check")</f>
        <v/>
      </c>
      <c r="M12" s="2">
        <f>XLOOKUP(C12,Prices!A:A,Prices!B:B,"Unknown")</f>
        <v/>
      </c>
      <c r="N12" s="2">
        <f>TEXT(A12,"yyyy-mm")</f>
        <v/>
      </c>
    </row>
    <row r="13">
      <c r="A13" s="8" t="n">
        <v>46134</v>
      </c>
      <c r="B13" s="2" t="inlineStr">
        <is>
          <t>East</t>
        </is>
      </c>
      <c r="C13" s="2" t="inlineStr">
        <is>
          <t>Tablet</t>
        </is>
      </c>
      <c r="D13" s="2" t="n">
        <v>5</v>
      </c>
      <c r="E13" s="9" t="n">
        <v>22100</v>
      </c>
      <c r="F13" s="9" t="n">
        <v>16100</v>
      </c>
      <c r="G13" s="2" t="inlineStr">
        <is>
          <t>ORD-1012</t>
        </is>
      </c>
      <c r="H13" s="9">
        <f>E13*D13</f>
        <v/>
      </c>
      <c r="I13" s="9">
        <f>F13*D13</f>
        <v/>
      </c>
      <c r="J13" s="9">
        <f>H13-I13</f>
        <v/>
      </c>
      <c r="K13" s="10">
        <f>IF(H13=0,0,J13/H13)</f>
        <v/>
      </c>
      <c r="L13" s="9">
        <f>IF(D13&gt;0,"OK","Check")</f>
        <v/>
      </c>
      <c r="M13" s="2">
        <f>XLOOKUP(C13,Prices!A:A,Prices!B:B,"Unknown")</f>
        <v/>
      </c>
      <c r="N13" s="2">
        <f>TEXT(A13,"yyyy-mm")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</cols>
  <sheetData>
    <row r="1">
      <c r="A1" s="1" t="inlineStr">
        <is>
          <t>Category</t>
        </is>
      </c>
      <c r="B1" s="1" t="inlineStr">
        <is>
          <t>ReferencePrice</t>
        </is>
      </c>
    </row>
    <row r="2">
      <c r="A2" s="2" t="inlineStr">
        <is>
          <t>Laptop</t>
        </is>
      </c>
      <c r="B2" s="2" t="n">
        <v>55000</v>
      </c>
    </row>
    <row r="3">
      <c r="A3" s="2" t="inlineStr">
        <is>
          <t>Phone</t>
        </is>
      </c>
      <c r="B3" s="2" t="n">
        <v>18000</v>
      </c>
    </row>
    <row r="4">
      <c r="A4" s="2" t="inlineStr">
        <is>
          <t>Tablet</t>
        </is>
      </c>
      <c r="B4" s="2" t="n">
        <v>22000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Formula Practice</t>
        </is>
      </c>
      <c r="B1" s="1" t="inlineStr">
        <is>
          <t>Example / Expected result</t>
        </is>
      </c>
    </row>
    <row r="2">
      <c r="A2" s="2" t="inlineStr">
        <is>
          <t>West regional revenue</t>
        </is>
      </c>
      <c r="B2" s="2">
        <f>SUMIFS('Cleaned Data'!H:H,'Cleaned Data'!B:B,"West")</f>
        <v/>
      </c>
    </row>
    <row r="3">
      <c r="A3" s="2" t="inlineStr">
        <is>
          <t>Quantity validation</t>
        </is>
      </c>
      <c r="B3" s="2">
        <f>IF('Cleaned Data'!D2&gt;0,"OK","Check")</f>
        <v/>
      </c>
    </row>
    <row r="4">
      <c r="A4" s="2" t="inlineStr">
        <is>
          <t>Lookup example</t>
        </is>
      </c>
      <c r="B4" s="2">
        <f>XLOOKUP('Cleaned Data'!C2,Prices!A:A,Prices!B:B,"Unknown")</f>
        <v/>
      </c>
    </row>
    <row r="5">
      <c r="A5" s="2" t="inlineStr">
        <is>
          <t>VLOOKUP alternative</t>
        </is>
      </c>
      <c r="B5" s="2">
        <f>VLOOKUP('Cleaned Data'!C2,Prices!A:B,2,FALSE)</f>
        <v/>
      </c>
    </row>
    <row r="6">
      <c r="A6" s="2" t="inlineStr">
        <is>
          <t>Manual check 1</t>
        </is>
      </c>
      <c r="B6" s="2" t="inlineStr">
        <is>
          <t>ORD-1001: 2 × ₹55,000 = ₹110,000 revenue; margin = 2 × (₹55,000 − ₹42,000) = ₹26,000.</t>
        </is>
      </c>
    </row>
    <row r="7">
      <c r="A7" s="2" t="inlineStr">
        <is>
          <t>Manual check 2</t>
        </is>
      </c>
      <c r="B7" s="2" t="inlineStr">
        <is>
          <t>ORD-1005: 4 × ₹17,500 = ₹70,000 revenue; margin = 4 × (₹17,500 − ₹12,200) = ₹21,200.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5" customWidth="1" min="2" max="2"/>
    <col width="15" customWidth="1" min="3" max="3"/>
    <col width="14" customWidth="1" min="4" max="4"/>
  </cols>
  <sheetData>
    <row r="1">
      <c r="A1" t="inlineStr">
        <is>
          <t>Region</t>
        </is>
      </c>
      <c r="B1" t="inlineStr">
        <is>
          <t>Category</t>
        </is>
      </c>
      <c r="C1" t="inlineStr">
        <is>
          <t>Total Revenue</t>
        </is>
      </c>
      <c r="D1" t="inlineStr">
        <is>
          <t>Total Units</t>
        </is>
      </c>
    </row>
    <row r="2">
      <c r="A2" t="inlineStr">
        <is>
          <t>East</t>
        </is>
      </c>
      <c r="B2" t="inlineStr">
        <is>
          <t>Laptop</t>
        </is>
      </c>
      <c r="C2" t="n">
        <v>56000</v>
      </c>
      <c r="D2" t="n">
        <v>1</v>
      </c>
    </row>
    <row r="3">
      <c r="A3" t="inlineStr">
        <is>
          <t>East</t>
        </is>
      </c>
      <c r="B3" t="inlineStr">
        <is>
          <t>Phone</t>
        </is>
      </c>
      <c r="C3" t="n">
        <v>109200</v>
      </c>
      <c r="D3" t="n">
        <v>6</v>
      </c>
    </row>
    <row r="4">
      <c r="A4" t="inlineStr">
        <is>
          <t>East</t>
        </is>
      </c>
      <c r="B4" t="inlineStr">
        <is>
          <t>Tablet</t>
        </is>
      </c>
      <c r="C4" t="n">
        <v>110500</v>
      </c>
      <c r="D4" t="n">
        <v>5</v>
      </c>
    </row>
    <row r="5">
      <c r="A5" t="inlineStr">
        <is>
          <t>North</t>
        </is>
      </c>
      <c r="B5" t="inlineStr">
        <is>
          <t>Laptop</t>
        </is>
      </c>
      <c r="C5" t="n">
        <v>57000</v>
      </c>
      <c r="D5" t="n">
        <v>1</v>
      </c>
    </row>
    <row r="6">
      <c r="A6" t="inlineStr">
        <is>
          <t>North</t>
        </is>
      </c>
      <c r="B6" t="inlineStr">
        <is>
          <t>Phone</t>
        </is>
      </c>
      <c r="C6" t="n">
        <v>90000</v>
      </c>
      <c r="D6" t="n">
        <v>5</v>
      </c>
    </row>
    <row r="7">
      <c r="A7" t="inlineStr">
        <is>
          <t>North</t>
        </is>
      </c>
      <c r="B7" t="inlineStr">
        <is>
          <t>Tablet</t>
        </is>
      </c>
      <c r="C7" t="n">
        <v>45000</v>
      </c>
      <c r="D7" t="n">
        <v>2</v>
      </c>
    </row>
    <row r="8">
      <c r="A8" t="inlineStr">
        <is>
          <t>South</t>
        </is>
      </c>
      <c r="B8" t="inlineStr">
        <is>
          <t>Laptop</t>
        </is>
      </c>
      <c r="C8" t="n">
        <v>109000</v>
      </c>
      <c r="D8" t="n">
        <v>2</v>
      </c>
    </row>
    <row r="9">
      <c r="A9" t="inlineStr">
        <is>
          <t>South</t>
        </is>
      </c>
      <c r="B9" t="inlineStr">
        <is>
          <t>Phone</t>
        </is>
      </c>
      <c r="C9" t="n">
        <v>53700</v>
      </c>
      <c r="D9" t="n">
        <v>3</v>
      </c>
    </row>
    <row r="10">
      <c r="A10" t="inlineStr">
        <is>
          <t>South</t>
        </is>
      </c>
      <c r="B10" t="inlineStr">
        <is>
          <t>Tablet</t>
        </is>
      </c>
      <c r="C10" t="n">
        <v>66000</v>
      </c>
      <c r="D10" t="n">
        <v>3</v>
      </c>
    </row>
    <row r="11">
      <c r="A11" t="inlineStr">
        <is>
          <t>West</t>
        </is>
      </c>
      <c r="B11" t="inlineStr">
        <is>
          <t>Laptop</t>
        </is>
      </c>
      <c r="C11" t="n">
        <v>110000</v>
      </c>
      <c r="D11" t="n">
        <v>2</v>
      </c>
    </row>
    <row r="12">
      <c r="A12" t="inlineStr">
        <is>
          <t>West</t>
        </is>
      </c>
      <c r="B12" t="inlineStr">
        <is>
          <t>Phone</t>
        </is>
      </c>
      <c r="C12" t="n">
        <v>70000</v>
      </c>
      <c r="D12" t="n">
        <v>4</v>
      </c>
    </row>
    <row r="13">
      <c r="A13" t="inlineStr">
        <is>
          <t>West</t>
        </is>
      </c>
      <c r="B13" t="inlineStr">
        <is>
          <t>Tablet</t>
        </is>
      </c>
      <c r="C13" t="n">
        <v>87200</v>
      </c>
      <c r="D13" t="n">
        <v>4</v>
      </c>
    </row>
    <row r="15">
      <c r="A15" t="inlineStr">
        <is>
          <t>Region Summary</t>
        </is>
      </c>
    </row>
    <row r="16">
      <c r="A16" t="inlineStr">
        <is>
          <t>Region</t>
        </is>
      </c>
      <c r="B16" t="inlineStr">
        <is>
          <t>Total Revenue</t>
        </is>
      </c>
      <c r="C16" t="inlineStr">
        <is>
          <t>Total Units</t>
        </is>
      </c>
    </row>
    <row r="17">
      <c r="A17" t="inlineStr">
        <is>
          <t>East</t>
        </is>
      </c>
      <c r="B17" t="n">
        <v>275700</v>
      </c>
      <c r="C17" t="n">
        <v>12</v>
      </c>
    </row>
    <row r="18">
      <c r="A18" t="inlineStr">
        <is>
          <t>North</t>
        </is>
      </c>
      <c r="B18" t="n">
        <v>192000</v>
      </c>
      <c r="C18" t="n">
        <v>8</v>
      </c>
    </row>
    <row r="19">
      <c r="A19" t="inlineStr">
        <is>
          <t>South</t>
        </is>
      </c>
      <c r="B19" t="n">
        <v>228700</v>
      </c>
      <c r="C19" t="n">
        <v>8</v>
      </c>
    </row>
    <row r="20">
      <c r="A20" t="inlineStr">
        <is>
          <t>West</t>
        </is>
      </c>
      <c r="B20" t="n">
        <v>267200</v>
      </c>
      <c r="C20" t="n">
        <v>10</v>
      </c>
    </row>
    <row r="22">
      <c r="A22" t="inlineStr">
        <is>
          <t>Category Summary</t>
        </is>
      </c>
    </row>
    <row r="23">
      <c r="A23" t="inlineStr">
        <is>
          <t>Category</t>
        </is>
      </c>
      <c r="B23" t="inlineStr">
        <is>
          <t>Total Revenue</t>
        </is>
      </c>
      <c r="C23" t="inlineStr">
        <is>
          <t>Total Units</t>
        </is>
      </c>
    </row>
    <row r="24">
      <c r="A24" t="inlineStr">
        <is>
          <t>Laptop</t>
        </is>
      </c>
      <c r="B24" t="n">
        <v>332000</v>
      </c>
      <c r="C24" t="n">
        <v>6</v>
      </c>
    </row>
    <row r="25">
      <c r="A25" t="inlineStr">
        <is>
          <t>Phone</t>
        </is>
      </c>
      <c r="B25" t="n">
        <v>322900</v>
      </c>
      <c r="C25" t="n">
        <v>18</v>
      </c>
    </row>
    <row r="26">
      <c r="A26" t="inlineStr">
        <is>
          <t>Tablet</t>
        </is>
      </c>
      <c r="B26" t="n">
        <v>308700</v>
      </c>
      <c r="C26" t="n">
        <v>14</v>
      </c>
    </row>
    <row r="28">
      <c r="A28" t="inlineStr">
        <is>
          <t>Monthly Summary</t>
        </is>
      </c>
    </row>
    <row r="29">
      <c r="A29" t="inlineStr">
        <is>
          <t>Month</t>
        </is>
      </c>
      <c r="B29" t="inlineStr">
        <is>
          <t>Total Revenue</t>
        </is>
      </c>
      <c r="C29" t="inlineStr">
        <is>
          <t>Total Units</t>
        </is>
      </c>
    </row>
    <row r="30">
      <c r="A30" t="inlineStr">
        <is>
          <t>2026-01</t>
        </is>
      </c>
      <c r="B30" t="n">
        <v>266000</v>
      </c>
      <c r="C30" t="n">
        <v>10</v>
      </c>
    </row>
    <row r="31">
      <c r="A31" t="inlineStr">
        <is>
          <t>2026-02</t>
        </is>
      </c>
      <c r="B31" t="n">
        <v>171000</v>
      </c>
      <c r="C31" t="n">
        <v>7</v>
      </c>
    </row>
    <row r="32">
      <c r="A32" t="inlineStr">
        <is>
          <t>2026-03</t>
        </is>
      </c>
      <c r="B32" t="n">
        <v>305400</v>
      </c>
      <c r="C32" t="n">
        <v>12</v>
      </c>
    </row>
    <row r="33">
      <c r="A33" t="inlineStr">
        <is>
          <t>2026-04</t>
        </is>
      </c>
      <c r="B33" t="n">
        <v>221200</v>
      </c>
      <c r="C33" t="n">
        <v>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</cols>
  <sheetData>
    <row r="1">
      <c r="A1" s="1" t="inlineStr">
        <is>
          <t>Sales Visualizations</t>
        </is>
      </c>
    </row>
    <row r="2">
      <c r="A2" s="2" t="inlineStr">
        <is>
          <t>Category revenue bar chart and monthly revenue trend chart are embedded below.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Observation</t>
        </is>
      </c>
      <c r="B1" s="1" t="inlineStr">
        <is>
          <t>Evidence</t>
        </is>
      </c>
    </row>
    <row r="2">
      <c r="A2" s="2" t="inlineStr">
        <is>
          <t>Laptop is the highest-revenue category.</t>
        </is>
      </c>
      <c r="B2" s="2" t="inlineStr">
        <is>
          <t>Revenue = ₹332,000.</t>
        </is>
      </c>
    </row>
    <row r="3">
      <c r="A3" s="2" t="inlineStr">
        <is>
          <t>March 2026 is the strongest month in the sample.</t>
        </is>
      </c>
      <c r="B3" s="2" t="inlineStr">
        <is>
          <t>Revenue = ₹305,400.</t>
        </is>
      </c>
    </row>
    <row r="4">
      <c r="A4" s="2" t="inlineStr">
        <is>
          <t>East is the highest-revenue region.</t>
        </is>
      </c>
      <c r="B4" s="2" t="inlineStr">
        <is>
          <t>Revenue = ₹275,700.</t>
        </is>
      </c>
    </row>
    <row r="5">
      <c r="A5" s="2" t="inlineStr">
        <is>
          <t>Caution</t>
        </is>
      </c>
      <c r="B5" s="2" t="inlineStr">
        <is>
          <t>This is a small fictional practice dataset; findings are only for demonstrating analysis, not real business decisions.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2026-10-28T08:51:36Z</dcterms:created>
  <dcterms:modified xmlns:dcterms="http://purl.org/dc/terms/" xmlns:xsi="http://www.w3.org/2001/XMLSchema-instance" xsi:type="dcterms:W3CDTF">2026-10-28T08:52:32Z</dcterms:modified>
</cp:coreProperties>
</file>